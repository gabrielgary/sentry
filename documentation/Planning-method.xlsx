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" sheetId="1" state="visible" r:id="rId3"/>
    <sheet name="Schedule" sheetId="2" state="visible" r:id="rId4"/>
    <sheet name="Descrip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<sst xmlns="http://schemas.openxmlformats.org/spreadsheetml/2006/main" count="164" uniqueCount="60">
  <si>
    <t xml:space="preserve">CALENDAR</t>
  </si>
  <si>
    <t xml:space="preserve">Date</t>
  </si>
  <si>
    <t xml:space="preserve">Duration in days</t>
  </si>
  <si>
    <t xml:space="preserve">Phases</t>
  </si>
  <si>
    <t xml:space="preserve">Activity</t>
  </si>
  <si>
    <t xml:space="preserve">%</t>
  </si>
  <si>
    <t xml:space="preserve">Status</t>
  </si>
  <si>
    <t xml:space="preserve">Fineshed</t>
  </si>
  <si>
    <t xml:space="preserve">Peding</t>
  </si>
  <si>
    <t xml:space="preserve">Completed</t>
  </si>
  <si>
    <t xml:space="preserve">Phase 0</t>
  </si>
  <si>
    <t xml:space="preserve">Discovery &amp; Requirements</t>
  </si>
  <si>
    <t xml:space="preserve">In progress</t>
  </si>
  <si>
    <t xml:space="preserve">Phase 1</t>
  </si>
  <si>
    <t xml:space="preserve">System Design &amp; Architecture</t>
  </si>
  <si>
    <t xml:space="preserve">Phase 2</t>
  </si>
  <si>
    <t xml:space="preserve">Project Setup</t>
  </si>
  <si>
    <t xml:space="preserve">Phase 3</t>
  </si>
  <si>
    <t xml:space="preserve">Backend Development</t>
  </si>
  <si>
    <t xml:space="preserve">Phase 4</t>
  </si>
  <si>
    <t xml:space="preserve">Frontend Development</t>
  </si>
  <si>
    <t xml:space="preserve">Phase 5</t>
  </si>
  <si>
    <t xml:space="preserve">Testing &amp; QA</t>
  </si>
  <si>
    <t xml:space="preserve">Phase 6</t>
  </si>
  <si>
    <t xml:space="preserve">Deploy &amp; Observability</t>
  </si>
  <si>
    <t xml:space="preserve">SPRING</t>
  </si>
  <si>
    <t xml:space="preserve">Phase</t>
  </si>
  <si>
    <t xml:space="preserve">Task</t>
  </si>
  <si>
    <t xml:space="preserve">BRD — Business Requirements Document</t>
  </si>
  <si>
    <t xml:space="preserve">User Stories + Acceptance Criteria</t>
  </si>
  <si>
    <t xml:space="preserve">Priorização MoSCoW</t>
  </si>
  <si>
    <t xml:space="preserve">Relatorio Da Fase</t>
  </si>
  <si>
    <t xml:space="preserve">High Level Design (HLD)</t>
  </si>
  <si>
    <t xml:space="preserve">Diagramas de Caso de Uso</t>
  </si>
  <si>
    <t xml:space="preserve">Diagramas de Classes e de Objecto</t>
  </si>
  <si>
    <t xml:space="preserve">Database struturation</t>
  </si>
  <si>
    <t xml:space="preserve">Interfaces dos Repositorios</t>
  </si>
  <si>
    <t xml:space="preserve">API Design com OpenAPI/Swagger</t>
  </si>
  <si>
    <t xml:space="preserve">ADRS</t>
  </si>
  <si>
    <t xml:space="preserve">Estrutura das Pastas e Docker Compose e Migrações se possível</t>
  </si>
  <si>
    <t xml:space="preserve">Backend  Development </t>
  </si>
  <si>
    <t xml:space="preserve">Core Backend Development and Frontend</t>
  </si>
  <si>
    <t xml:space="preserve">Frontend Development </t>
  </si>
  <si>
    <t xml:space="preserve">Testing &amp; QA &amp; Optmisation</t>
  </si>
  <si>
    <t xml:space="preserve">Tests and Optmisation</t>
  </si>
  <si>
    <t xml:space="preserve">Deploy</t>
  </si>
  <si>
    <t xml:space="preserve">Deploy on render </t>
  </si>
  <si>
    <t xml:space="preserve">Fix Bug on render</t>
  </si>
  <si>
    <t xml:space="preserve">Documentação</t>
  </si>
  <si>
    <t xml:space="preserve">Create Handoff</t>
  </si>
  <si>
    <t xml:space="preserve">Publicação no linkedin e procurar clientes</t>
  </si>
  <si>
    <t xml:space="preserve">Centry Software-School Management Smart</t>
  </si>
  <si>
    <t xml:space="preserve">Owner Name</t>
  </si>
  <si>
    <t xml:space="preserve">Gabriel Pedro Aurélio</t>
  </si>
  <si>
    <t xml:space="preserve">Owner Email</t>
  </si>
  <si>
    <t xml:space="preserve">gabrielpedroaurelio@gmailcom</t>
  </si>
  <si>
    <t xml:space="preserve">TimeLife</t>
  </si>
  <si>
    <t xml:space="preserve">Two Months</t>
  </si>
  <si>
    <t xml:space="preserve">Target School</t>
  </si>
  <si>
    <t xml:space="preserve">High School Particular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</si>
</sst>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0%"/>
    <numFmt numFmtId="167" formatCode="0.0%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Display"/>
      <family val="2"/>
      <charset val="1"/>
    </font>
    <font>
      <b val="true"/>
      <sz val="11"/>
      <color theme="1"/>
      <name val="Aptos Narrow"/>
      <family val="2"/>
      <charset val="1"/>
    </font>
    <font>
      <b val="true"/>
      <i val="true"/>
      <sz val="11"/>
      <color rgb="FF00B050"/>
      <name val="Aptos Narrow"/>
      <family val="2"/>
      <charset val="1"/>
    </font>
    <font>
      <b val="true"/>
      <i val="true"/>
      <sz val="10"/>
      <color theme="2" tint="-0.5"/>
      <name val="Aptos Narrow"/>
      <family val="2"/>
      <charset val="1"/>
    </font>
    <font>
      <b val="true"/>
      <i val="true"/>
      <sz val="11"/>
      <color rgb="FF0070C0"/>
      <name val="Aptos Narrow"/>
      <family val="2"/>
      <charset val="1"/>
    </font>
    <font>
      <b val="true"/>
      <i val="true"/>
      <sz val="11"/>
      <color rgb="FFFFFF00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i val="true"/>
      <sz val="14"/>
      <color theme="0" tint="-0.5"/>
      <name val="Aptos Display"/>
      <family val="0"/>
    </font>
    <font>
      <b val="true"/>
      <i val="true"/>
      <sz val="9"/>
      <color theme="2" tint="-0.5"/>
      <name val="Aptos Narrow"/>
      <family val="2"/>
      <charset val="1"/>
    </font>
    <font>
      <b val="true"/>
      <i val="true"/>
      <sz val="9"/>
      <color theme="2" tint="-0.5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E8E8E8"/>
      </patternFill>
    </fill>
    <fill>
      <patternFill patternType="solid">
        <fgColor theme="0" tint="-0.25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5"/>
      </left>
      <right/>
      <top style="thin">
        <color theme="0" tint="-0.5"/>
      </top>
      <bottom style="thin">
        <color theme="0" tint="-0.5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FF00"/>
      </font>
    </dxf>
    <dxf>
      <font>
        <color rgb="FF0070C0"/>
      </font>
    </dxf>
    <dxf>
      <font>
        <color rgb="FF00B050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E8E8E8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47474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AO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pt-AO" sz="1400" spc="-1" strike="noStrike">
                <a:solidFill>
                  <a:srgbClr val="595959"/>
                </a:solidFill>
                <a:latin typeface="Aptos Narrow"/>
              </a:rPr>
              <a:t>Project Percentual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"Project Percentual"</c:f>
              <c:strCache>
                <c:ptCount val="1"/>
                <c:pt idx="0">
                  <c:v>Project Percentual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b050"/>
              </a:solidFill>
              <a:ln w="19080">
                <a:noFill/>
              </a:ln>
            </c:spPr>
          </c:dPt>
          <c:dPt>
            <c:idx val="1"/>
            <c:spPr>
              <a:solidFill>
                <a:srgbClr val="e8e8e8"/>
              </a:solidFill>
              <a:ln w="1908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multiLvlStrRef>
              <c:f>CALENDAR!$G$2:$H$2</c:f>
              <c:multiLvlStrCache>
                <c:ptCount val="1"/>
                <c:lvl>
                  <c:pt idx="0">
                    <c:v>Peding</c:v>
                  </c:pt>
                </c:lvl>
                <c:lvl>
                  <c:pt idx="0">
                    <c:v>Fineshed</c:v>
                  </c:pt>
                </c:lvl>
              </c:multiLvlStrCache>
            </c:multiLvlStrRef>
          </c:cat>
          <c:val>
            <c:numRef>
              <c:f>CALENDAR!$G$3:$H$3</c:f>
              <c:numCache>
                <c:formatCode>0.0%</c:formatCode>
                <c:ptCount val="2"/>
                <c:pt idx="0">
                  <c:v>0.158730158730159</c:v>
                </c:pt>
                <c:pt idx="1">
                  <c:v>0.841269841269841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9360</xdr:colOff>
      <xdr:row>3</xdr:row>
      <xdr:rowOff>19080</xdr:rowOff>
    </xdr:from>
    <xdr:to>
      <xdr:col>14</xdr:col>
      <xdr:colOff>360360</xdr:colOff>
      <xdr:row>17</xdr:row>
      <xdr:rowOff>93960</xdr:rowOff>
    </xdr:to>
    <xdr:graphicFrame>
      <xdr:nvGraphicFramePr>
        <xdr:cNvPr id="0" name="Chart 3"/>
        <xdr:cNvGraphicFramePr/>
      </xdr:nvGraphicFramePr>
      <xdr:xfrm>
        <a:off x="6193080" y="590760"/>
        <a:ext cx="51400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10</xdr:col>
      <xdr:colOff>57240</xdr:colOff>
      <xdr:row>8</xdr:row>
      <xdr:rowOff>19080</xdr:rowOff>
    </xdr:from>
    <xdr:to>
      <xdr:col>11</xdr:col>
      <xdr:colOff>361800</xdr:colOff>
      <xdr:row>12</xdr:row>
      <xdr:rowOff>104400</xdr:rowOff>
    </xdr:to>
    <xdr:sp>
      <xdr:nvSpPr>
        <xdr:cNvPr id="1" name="TextBox 2"/>
        <xdr:cNvSpPr/>
      </xdr:nvSpPr>
      <xdr:spPr>
        <a:xfrm>
          <a:off x="8286840" y="1542960"/>
          <a:ext cx="990360" cy="8474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i="1" lang="en-US" sz="1400" spc="-1" strike="noStrike">
              <a:solidFill>
                <a:schemeClr val="lt1">
                  <a:lumMod val="50000"/>
                </a:schemeClr>
              </a:solidFill>
              <a:latin typeface="Aptos Display"/>
            </a:rPr>
            <a:t>2,4%</a:t>
          </a:r>
          <a:endParaRPr b="0" lang="pt-BR" sz="14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gabrielpedroaurelio@gmail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5.72"/>
    <col collapsed="false" customWidth="true" hidden="false" outlineLevel="0" max="3" min="3" style="0" width="7.57"/>
    <col collapsed="false" customWidth="true" hidden="false" outlineLevel="0" max="4" min="4" style="0" width="24.43"/>
    <col collapsed="false" customWidth="true" hidden="false" outlineLevel="0" max="6" min="5" style="0" width="9.43"/>
    <col collapsed="false" customWidth="true" hidden="false" outlineLevel="0" max="9" min="9" style="0" width="8.43"/>
    <col collapsed="false" customWidth="true" hidden="true" outlineLevel="0" max="10" min="10" style="0" width="9.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4" t="s">
        <v>7</v>
      </c>
      <c r="H2" s="4" t="s">
        <v>8</v>
      </c>
      <c r="J2" s="5" t="s">
        <v>9</v>
      </c>
    </row>
    <row r="3" customFormat="false" ht="15" hidden="false" customHeight="false" outlineLevel="0" collapsed="false">
      <c r="A3" s="6" t="n">
        <v>46185</v>
      </c>
      <c r="B3" s="7" t="n">
        <v>10</v>
      </c>
      <c r="C3" s="7" t="s">
        <v>10</v>
      </c>
      <c r="D3" s="7" t="s">
        <v>11</v>
      </c>
      <c r="E3" s="8" t="n">
        <f aca="false">SUM(Schedule!D3:D8)/COUNT(Schedule!D3:D8)</f>
        <v>1</v>
      </c>
      <c r="F3" s="9" t="str">
        <f aca="false">IF(E3=0,$J$4,IF(E3&lt;1,$J$3,$J$2))</f>
        <v>Completed</v>
      </c>
      <c r="G3" s="10" t="n">
        <f aca="false">(SUM(E3:E9)/COUNT(E3:E9))</f>
        <v>0.158730158730159</v>
      </c>
      <c r="H3" s="10" t="n">
        <f aca="false">100%-(SUM(E3:E9)/COUNT(E3:E9))</f>
        <v>0.841269841269841</v>
      </c>
      <c r="J3" s="11" t="s">
        <v>12</v>
      </c>
    </row>
    <row r="4" customFormat="false" ht="15" hidden="false" customHeight="false" outlineLevel="0" collapsed="false">
      <c r="A4" s="6" t="n">
        <f aca="false">B3+A3</f>
        <v>46195</v>
      </c>
      <c r="B4" s="7" t="n">
        <v>20</v>
      </c>
      <c r="C4" s="7" t="s">
        <v>13</v>
      </c>
      <c r="D4" s="7" t="s">
        <v>14</v>
      </c>
      <c r="E4" s="8" t="n">
        <f aca="false">SUM(Schedule!D9:D17)/COUNT(Schedule!D9:D17)</f>
        <v>0.111111111111111</v>
      </c>
      <c r="F4" s="12" t="str">
        <f aca="false">IF(E4=0,$J$4,IF(E4&lt;1,$J$3,$J$2))</f>
        <v>In progress</v>
      </c>
      <c r="J4" s="13" t="s">
        <v>8</v>
      </c>
    </row>
    <row r="5" customFormat="false" ht="15" hidden="false" customHeight="false" outlineLevel="0" collapsed="false">
      <c r="A5" s="6" t="n">
        <f aca="false">B4+A4</f>
        <v>46215</v>
      </c>
      <c r="B5" s="7" t="n">
        <v>5</v>
      </c>
      <c r="C5" s="7" t="s">
        <v>15</v>
      </c>
      <c r="D5" s="7" t="s">
        <v>16</v>
      </c>
      <c r="E5" s="8" t="n">
        <f aca="false">SUM(Schedule!D18:D18)/COUNT(Schedule!D18:D18)</f>
        <v>0</v>
      </c>
      <c r="F5" s="12" t="str">
        <f aca="false">IF(E5=0,$J$4,IF(E5&lt;1,$J$3,$J$2))</f>
        <v>Peding</v>
      </c>
    </row>
    <row r="6" customFormat="false" ht="15" hidden="false" customHeight="false" outlineLevel="0" collapsed="false">
      <c r="A6" s="6" t="n">
        <f aca="false">B5+A5</f>
        <v>46220</v>
      </c>
      <c r="B6" s="7" t="n">
        <v>25</v>
      </c>
      <c r="C6" s="7" t="s">
        <v>17</v>
      </c>
      <c r="D6" s="7" t="s">
        <v>18</v>
      </c>
      <c r="E6" s="8" t="n">
        <f aca="false">SUM(Schedule!D19:D39)/COUNT(Schedule!D19:D39)</f>
        <v>0</v>
      </c>
      <c r="F6" s="12" t="str">
        <f aca="false">IF(E6=0,$J$4,IF(E6&lt;1,$J$3,$J$2))</f>
        <v>Peding</v>
      </c>
    </row>
    <row r="7" customFormat="false" ht="15" hidden="false" customHeight="false" outlineLevel="0" collapsed="false">
      <c r="A7" s="6" t="n">
        <f aca="false">B6+A6</f>
        <v>46245</v>
      </c>
      <c r="B7" s="7" t="n">
        <v>20</v>
      </c>
      <c r="C7" s="7" t="s">
        <v>19</v>
      </c>
      <c r="D7" s="7" t="s">
        <v>20</v>
      </c>
      <c r="E7" s="8" t="n">
        <f aca="false">SUM(Schedule!D40:D49)/COUNT(Schedule!D40:D49)</f>
        <v>0</v>
      </c>
      <c r="F7" s="12" t="str">
        <f aca="false">IF(E7=0,$J$4,IF(E7&lt;1,$J$3,$J$2))</f>
        <v>Peding</v>
      </c>
    </row>
    <row r="8" customFormat="false" ht="15" hidden="false" customHeight="false" outlineLevel="0" collapsed="false">
      <c r="A8" s="6" t="n">
        <f aca="false">B7+A7</f>
        <v>46265</v>
      </c>
      <c r="B8" s="7" t="n">
        <v>5</v>
      </c>
      <c r="C8" s="7" t="s">
        <v>21</v>
      </c>
      <c r="D8" s="7" t="s">
        <v>22</v>
      </c>
      <c r="E8" s="8" t="n">
        <f aca="false">SUM(Schedule!D50:D58)/COUNT(Schedule!D50:D58)</f>
        <v>0</v>
      </c>
      <c r="F8" s="12" t="str">
        <f aca="false">IF(E8=0,$J$4,IF(E8&lt;1,$J$3,$J$2))</f>
        <v>Peding</v>
      </c>
    </row>
    <row r="9" customFormat="false" ht="15" hidden="false" customHeight="false" outlineLevel="0" collapsed="false">
      <c r="A9" s="6" t="n">
        <f aca="false">B8+A8</f>
        <v>46270</v>
      </c>
      <c r="B9" s="7" t="n">
        <v>7</v>
      </c>
      <c r="C9" s="7" t="s">
        <v>23</v>
      </c>
      <c r="D9" s="7" t="s">
        <v>24</v>
      </c>
      <c r="E9" s="8" t="n">
        <f aca="false">SUM(Schedule!D59:D64)/COUNT(Schedule!D59:D64)</f>
        <v>0</v>
      </c>
      <c r="F9" s="12" t="str">
        <f aca="false">IF(E9=0,$J$4,IF(E9&lt;1,$J$3,$J$2))</f>
        <v>Peding</v>
      </c>
      <c r="H9" s="14"/>
    </row>
  </sheetData>
  <mergeCells count="1">
    <mergeCell ref="A1:F1"/>
  </mergeCells>
  <conditionalFormatting sqref="F3:F9">
    <cfRule type="cellIs" priority="2" operator="equal" aboveAverage="0" equalAverage="0" bottom="0" percent="0" rank="0" text="" dxfId="0">
      <formula>$J$4</formula>
    </cfRule>
    <cfRule type="cellIs" priority="3" operator="equal" aboveAverage="0" equalAverage="0" bottom="0" percent="0" rank="0" text="" dxfId="1">
      <formula>$J$3</formula>
    </cfRule>
    <cfRule type="cellIs" priority="4" operator="equal" aboveAverage="0" equalAverage="0" bottom="0" percent="0" rank="0" text="" dxfId="2">
      <formula>$J$2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6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10" activeCellId="0" sqref="D10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29.14"/>
    <col collapsed="false" customWidth="true" hidden="false" outlineLevel="0" max="3" min="3" style="0" width="32.29"/>
    <col collapsed="false" customWidth="true" hidden="false" outlineLevel="0" max="4" min="4" style="0" width="6.43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</row>
    <row r="2" customFormat="false" ht="15" hidden="false" customHeight="false" outlineLevel="0" collapsed="false">
      <c r="A2" s="0" t="s">
        <v>1</v>
      </c>
      <c r="B2" s="0" t="s">
        <v>26</v>
      </c>
      <c r="C2" s="0" t="s">
        <v>27</v>
      </c>
      <c r="D2" s="0" t="s">
        <v>6</v>
      </c>
    </row>
    <row r="3" customFormat="false" ht="15" hidden="false" customHeight="false" outlineLevel="0" collapsed="false">
      <c r="A3" s="6" t="n">
        <v>46204</v>
      </c>
      <c r="B3" s="7" t="s">
        <v>11</v>
      </c>
      <c r="C3" s="16" t="s">
        <v>28</v>
      </c>
      <c r="D3" s="0" t="n">
        <v>1</v>
      </c>
    </row>
    <row r="4" customFormat="false" ht="15" hidden="false" customHeight="false" outlineLevel="0" collapsed="false">
      <c r="A4" s="6" t="n">
        <v>46205</v>
      </c>
      <c r="B4" s="7" t="s">
        <v>11</v>
      </c>
      <c r="C4" s="16" t="s">
        <v>28</v>
      </c>
      <c r="D4" s="0" t="n">
        <v>1</v>
      </c>
    </row>
    <row r="5" customFormat="false" ht="15" hidden="false" customHeight="false" outlineLevel="0" collapsed="false">
      <c r="A5" s="6" t="n">
        <v>46206</v>
      </c>
      <c r="B5" s="7" t="s">
        <v>11</v>
      </c>
      <c r="C5" s="17" t="s">
        <v>29</v>
      </c>
      <c r="D5" s="0" t="n">
        <v>1</v>
      </c>
    </row>
    <row r="6" customFormat="false" ht="15" hidden="false" customHeight="false" outlineLevel="0" collapsed="false">
      <c r="A6" s="6" t="n">
        <v>46207</v>
      </c>
      <c r="B6" s="7" t="s">
        <v>11</v>
      </c>
      <c r="C6" s="17" t="s">
        <v>29</v>
      </c>
      <c r="D6" s="0" t="n">
        <v>1</v>
      </c>
    </row>
    <row r="7" customFormat="false" ht="15" hidden="false" customHeight="false" outlineLevel="0" collapsed="false">
      <c r="A7" s="6" t="n">
        <v>46208</v>
      </c>
      <c r="B7" s="7" t="s">
        <v>11</v>
      </c>
      <c r="C7" s="17" t="s">
        <v>30</v>
      </c>
      <c r="D7" s="0" t="n">
        <v>1</v>
      </c>
    </row>
    <row r="8" customFormat="false" ht="15" hidden="false" customHeight="false" outlineLevel="0" collapsed="false">
      <c r="A8" s="6" t="n">
        <v>46209</v>
      </c>
      <c r="B8" s="7" t="s">
        <v>11</v>
      </c>
      <c r="C8" s="17" t="s">
        <v>31</v>
      </c>
      <c r="D8" s="0" t="n">
        <v>1</v>
      </c>
    </row>
    <row r="9" customFormat="false" ht="15" hidden="false" customHeight="false" outlineLevel="0" collapsed="false">
      <c r="A9" s="6" t="n">
        <v>46210</v>
      </c>
      <c r="B9" s="7" t="s">
        <v>14</v>
      </c>
      <c r="C9" s="17" t="s">
        <v>32</v>
      </c>
      <c r="D9" s="0" t="n">
        <v>1</v>
      </c>
    </row>
    <row r="10" customFormat="false" ht="15" hidden="false" customHeight="false" outlineLevel="0" collapsed="false">
      <c r="A10" s="6" t="n">
        <v>46211</v>
      </c>
      <c r="B10" s="7" t="s">
        <v>14</v>
      </c>
      <c r="C10" s="17" t="s">
        <v>33</v>
      </c>
      <c r="D10" s="0" t="n">
        <v>0</v>
      </c>
    </row>
    <row r="11" customFormat="false" ht="15" hidden="false" customHeight="false" outlineLevel="0" collapsed="false">
      <c r="A11" s="6" t="n">
        <v>46212</v>
      </c>
      <c r="B11" s="7" t="s">
        <v>14</v>
      </c>
      <c r="C11" s="17" t="s">
        <v>34</v>
      </c>
      <c r="D11" s="0" t="n">
        <v>0</v>
      </c>
    </row>
    <row r="12" customFormat="false" ht="15" hidden="false" customHeight="false" outlineLevel="0" collapsed="false">
      <c r="A12" s="6" t="n">
        <v>46213</v>
      </c>
      <c r="B12" s="7" t="s">
        <v>14</v>
      </c>
      <c r="C12" s="17" t="s">
        <v>35</v>
      </c>
      <c r="D12" s="0" t="n">
        <v>0</v>
      </c>
    </row>
    <row r="13" customFormat="false" ht="15" hidden="false" customHeight="false" outlineLevel="0" collapsed="false">
      <c r="A13" s="6" t="n">
        <v>46214</v>
      </c>
      <c r="B13" s="7" t="s">
        <v>14</v>
      </c>
      <c r="C13" s="17" t="s">
        <v>35</v>
      </c>
      <c r="D13" s="0" t="n">
        <v>0</v>
      </c>
    </row>
    <row r="14" customFormat="false" ht="15" hidden="false" customHeight="false" outlineLevel="0" collapsed="false">
      <c r="A14" s="6" t="n">
        <v>46215</v>
      </c>
      <c r="B14" s="7" t="s">
        <v>14</v>
      </c>
      <c r="C14" s="17" t="s">
        <v>36</v>
      </c>
      <c r="D14" s="0" t="n">
        <v>0</v>
      </c>
    </row>
    <row r="15" customFormat="false" ht="15" hidden="false" customHeight="false" outlineLevel="0" collapsed="false">
      <c r="A15" s="6" t="n">
        <v>46216</v>
      </c>
      <c r="B15" s="7" t="s">
        <v>14</v>
      </c>
      <c r="C15" s="17" t="s">
        <v>37</v>
      </c>
      <c r="D15" s="0" t="n">
        <v>0</v>
      </c>
    </row>
    <row r="16" customFormat="false" ht="15" hidden="false" customHeight="false" outlineLevel="0" collapsed="false">
      <c r="A16" s="6" t="n">
        <v>46217</v>
      </c>
      <c r="B16" s="7" t="s">
        <v>14</v>
      </c>
      <c r="C16" s="17" t="s">
        <v>38</v>
      </c>
      <c r="D16" s="0" t="n">
        <v>0</v>
      </c>
    </row>
    <row r="17" customFormat="false" ht="15" hidden="false" customHeight="false" outlineLevel="0" collapsed="false">
      <c r="A17" s="6" t="n">
        <v>46218</v>
      </c>
      <c r="B17" s="7" t="s">
        <v>14</v>
      </c>
      <c r="C17" s="17" t="s">
        <v>31</v>
      </c>
      <c r="D17" s="0" t="n">
        <v>0</v>
      </c>
    </row>
    <row r="18" customFormat="false" ht="15" hidden="false" customHeight="false" outlineLevel="0" collapsed="false">
      <c r="A18" s="6" t="n">
        <v>46219</v>
      </c>
      <c r="B18" s="7" t="s">
        <v>16</v>
      </c>
      <c r="C18" s="17" t="s">
        <v>39</v>
      </c>
      <c r="D18" s="0" t="n">
        <v>0</v>
      </c>
    </row>
    <row r="19" customFormat="false" ht="15" hidden="false" customHeight="false" outlineLevel="0" collapsed="false">
      <c r="A19" s="6" t="n">
        <v>46220</v>
      </c>
      <c r="B19" s="7" t="s">
        <v>40</v>
      </c>
      <c r="C19" s="17" t="s">
        <v>41</v>
      </c>
      <c r="D19" s="0" t="n">
        <v>0</v>
      </c>
    </row>
    <row r="20" customFormat="false" ht="15" hidden="false" customHeight="false" outlineLevel="0" collapsed="false">
      <c r="A20" s="6" t="n">
        <v>46221</v>
      </c>
      <c r="B20" s="7" t="s">
        <v>40</v>
      </c>
      <c r="C20" s="17" t="s">
        <v>41</v>
      </c>
      <c r="D20" s="0" t="n">
        <v>0</v>
      </c>
    </row>
    <row r="21" customFormat="false" ht="15" hidden="false" customHeight="false" outlineLevel="0" collapsed="false">
      <c r="A21" s="6" t="n">
        <v>46222</v>
      </c>
      <c r="B21" s="7" t="s">
        <v>40</v>
      </c>
      <c r="C21" s="17" t="s">
        <v>41</v>
      </c>
      <c r="D21" s="0" t="n">
        <v>0</v>
      </c>
    </row>
    <row r="22" customFormat="false" ht="15" hidden="false" customHeight="false" outlineLevel="0" collapsed="false">
      <c r="A22" s="6" t="n">
        <v>46223</v>
      </c>
      <c r="B22" s="7" t="s">
        <v>40</v>
      </c>
      <c r="C22" s="17" t="s">
        <v>41</v>
      </c>
      <c r="D22" s="0" t="n">
        <v>0</v>
      </c>
    </row>
    <row r="23" customFormat="false" ht="15" hidden="false" customHeight="false" outlineLevel="0" collapsed="false">
      <c r="A23" s="6" t="n">
        <v>46224</v>
      </c>
      <c r="B23" s="7" t="s">
        <v>40</v>
      </c>
      <c r="C23" s="17" t="s">
        <v>41</v>
      </c>
      <c r="D23" s="0" t="n">
        <v>0</v>
      </c>
    </row>
    <row r="24" customFormat="false" ht="15" hidden="false" customHeight="false" outlineLevel="0" collapsed="false">
      <c r="A24" s="6" t="n">
        <v>46225</v>
      </c>
      <c r="B24" s="7" t="s">
        <v>40</v>
      </c>
      <c r="C24" s="17" t="s">
        <v>41</v>
      </c>
      <c r="D24" s="0" t="n">
        <v>0</v>
      </c>
    </row>
    <row r="25" customFormat="false" ht="15" hidden="false" customHeight="false" outlineLevel="0" collapsed="false">
      <c r="A25" s="6" t="n">
        <v>46226</v>
      </c>
      <c r="B25" s="7" t="s">
        <v>40</v>
      </c>
      <c r="C25" s="17" t="s">
        <v>41</v>
      </c>
      <c r="D25" s="0" t="n">
        <v>0</v>
      </c>
    </row>
    <row r="26" customFormat="false" ht="15" hidden="false" customHeight="false" outlineLevel="0" collapsed="false">
      <c r="A26" s="6" t="n">
        <v>46227</v>
      </c>
      <c r="B26" s="7" t="s">
        <v>40</v>
      </c>
      <c r="C26" s="17" t="s">
        <v>41</v>
      </c>
      <c r="D26" s="0" t="n">
        <v>0</v>
      </c>
    </row>
    <row r="27" customFormat="false" ht="15" hidden="false" customHeight="false" outlineLevel="0" collapsed="false">
      <c r="A27" s="6" t="n">
        <v>46228</v>
      </c>
      <c r="B27" s="7" t="s">
        <v>40</v>
      </c>
      <c r="C27" s="17" t="s">
        <v>41</v>
      </c>
      <c r="D27" s="0" t="n">
        <v>0</v>
      </c>
    </row>
    <row r="28" customFormat="false" ht="15" hidden="false" customHeight="false" outlineLevel="0" collapsed="false">
      <c r="A28" s="6" t="n">
        <v>46229</v>
      </c>
      <c r="B28" s="7" t="s">
        <v>40</v>
      </c>
      <c r="C28" s="17" t="s">
        <v>41</v>
      </c>
      <c r="D28" s="0" t="n">
        <v>0</v>
      </c>
    </row>
    <row r="29" customFormat="false" ht="15" hidden="false" customHeight="false" outlineLevel="0" collapsed="false">
      <c r="A29" s="6" t="n">
        <v>46230</v>
      </c>
      <c r="B29" s="7" t="s">
        <v>40</v>
      </c>
      <c r="C29" s="17" t="s">
        <v>41</v>
      </c>
      <c r="D29" s="0" t="n">
        <v>0</v>
      </c>
    </row>
    <row r="30" customFormat="false" ht="15" hidden="false" customHeight="false" outlineLevel="0" collapsed="false">
      <c r="A30" s="6" t="n">
        <v>46231</v>
      </c>
      <c r="B30" s="7" t="s">
        <v>40</v>
      </c>
      <c r="C30" s="17" t="s">
        <v>41</v>
      </c>
      <c r="D30" s="0" t="n">
        <v>0</v>
      </c>
    </row>
    <row r="31" customFormat="false" ht="15" hidden="false" customHeight="false" outlineLevel="0" collapsed="false">
      <c r="A31" s="6" t="n">
        <v>46232</v>
      </c>
      <c r="B31" s="7" t="s">
        <v>40</v>
      </c>
      <c r="C31" s="17" t="s">
        <v>41</v>
      </c>
      <c r="D31" s="0" t="n">
        <v>0</v>
      </c>
    </row>
    <row r="32" customFormat="false" ht="15" hidden="false" customHeight="false" outlineLevel="0" collapsed="false">
      <c r="A32" s="6" t="n">
        <v>46233</v>
      </c>
      <c r="B32" s="7" t="s">
        <v>40</v>
      </c>
      <c r="C32" s="17" t="s">
        <v>41</v>
      </c>
      <c r="D32" s="0" t="n">
        <v>0</v>
      </c>
    </row>
    <row r="33" customFormat="false" ht="15" hidden="false" customHeight="false" outlineLevel="0" collapsed="false">
      <c r="A33" s="6" t="n">
        <v>46234</v>
      </c>
      <c r="B33" s="7" t="s">
        <v>40</v>
      </c>
      <c r="C33" s="17" t="s">
        <v>41</v>
      </c>
      <c r="D33" s="0" t="n">
        <v>0</v>
      </c>
    </row>
    <row r="34" customFormat="false" ht="15" hidden="false" customHeight="false" outlineLevel="0" collapsed="false">
      <c r="A34" s="6" t="n">
        <v>46235</v>
      </c>
      <c r="B34" s="7" t="s">
        <v>40</v>
      </c>
      <c r="C34" s="17" t="s">
        <v>41</v>
      </c>
      <c r="D34" s="0" t="n">
        <v>0</v>
      </c>
    </row>
    <row r="35" customFormat="false" ht="15" hidden="false" customHeight="false" outlineLevel="0" collapsed="false">
      <c r="A35" s="6" t="n">
        <v>46236</v>
      </c>
      <c r="B35" s="7" t="s">
        <v>40</v>
      </c>
      <c r="C35" s="17" t="s">
        <v>41</v>
      </c>
      <c r="D35" s="0" t="n">
        <v>0</v>
      </c>
    </row>
    <row r="36" customFormat="false" ht="15" hidden="false" customHeight="false" outlineLevel="0" collapsed="false">
      <c r="A36" s="6" t="n">
        <v>46237</v>
      </c>
      <c r="B36" s="7" t="s">
        <v>40</v>
      </c>
      <c r="C36" s="17" t="s">
        <v>41</v>
      </c>
      <c r="D36" s="0" t="n">
        <v>0</v>
      </c>
    </row>
    <row r="37" customFormat="false" ht="15" hidden="false" customHeight="false" outlineLevel="0" collapsed="false">
      <c r="A37" s="6" t="n">
        <v>46238</v>
      </c>
      <c r="B37" s="7" t="s">
        <v>40</v>
      </c>
      <c r="C37" s="17" t="s">
        <v>41</v>
      </c>
      <c r="D37" s="0" t="n">
        <v>0</v>
      </c>
    </row>
    <row r="38" customFormat="false" ht="15" hidden="false" customHeight="false" outlineLevel="0" collapsed="false">
      <c r="A38" s="6" t="n">
        <v>46239</v>
      </c>
      <c r="B38" s="7" t="s">
        <v>40</v>
      </c>
      <c r="C38" s="17" t="s">
        <v>41</v>
      </c>
      <c r="D38" s="0" t="n">
        <v>0</v>
      </c>
    </row>
    <row r="39" customFormat="false" ht="15" hidden="false" customHeight="false" outlineLevel="0" collapsed="false">
      <c r="A39" s="6" t="n">
        <v>46240</v>
      </c>
      <c r="B39" s="7" t="s">
        <v>40</v>
      </c>
      <c r="C39" s="17" t="s">
        <v>41</v>
      </c>
      <c r="D39" s="0" t="n">
        <v>0</v>
      </c>
    </row>
    <row r="40" customFormat="false" ht="15" hidden="false" customHeight="false" outlineLevel="0" collapsed="false">
      <c r="A40" s="6" t="n">
        <v>46241</v>
      </c>
      <c r="B40" s="7" t="s">
        <v>42</v>
      </c>
      <c r="C40" s="17" t="s">
        <v>41</v>
      </c>
      <c r="D40" s="0" t="n">
        <v>0</v>
      </c>
    </row>
    <row r="41" customFormat="false" ht="15" hidden="false" customHeight="false" outlineLevel="0" collapsed="false">
      <c r="A41" s="6" t="n">
        <v>46242</v>
      </c>
      <c r="B41" s="7" t="s">
        <v>42</v>
      </c>
      <c r="C41" s="17" t="s">
        <v>41</v>
      </c>
      <c r="D41" s="0" t="n">
        <v>0</v>
      </c>
    </row>
    <row r="42" customFormat="false" ht="15" hidden="false" customHeight="false" outlineLevel="0" collapsed="false">
      <c r="A42" s="6" t="n">
        <v>46243</v>
      </c>
      <c r="B42" s="7" t="s">
        <v>42</v>
      </c>
      <c r="C42" s="17" t="s">
        <v>41</v>
      </c>
      <c r="D42" s="0" t="n">
        <v>0</v>
      </c>
    </row>
    <row r="43" customFormat="false" ht="15" hidden="false" customHeight="false" outlineLevel="0" collapsed="false">
      <c r="A43" s="6" t="n">
        <v>46244</v>
      </c>
      <c r="B43" s="7" t="s">
        <v>42</v>
      </c>
      <c r="C43" s="17" t="s">
        <v>41</v>
      </c>
      <c r="D43" s="0" t="n">
        <v>0</v>
      </c>
    </row>
    <row r="44" customFormat="false" ht="15" hidden="false" customHeight="false" outlineLevel="0" collapsed="false">
      <c r="A44" s="6" t="n">
        <v>46245</v>
      </c>
      <c r="B44" s="7" t="s">
        <v>42</v>
      </c>
      <c r="C44" s="17" t="s">
        <v>41</v>
      </c>
      <c r="D44" s="0" t="n">
        <v>0</v>
      </c>
    </row>
    <row r="45" customFormat="false" ht="15" hidden="false" customHeight="false" outlineLevel="0" collapsed="false">
      <c r="A45" s="6" t="n">
        <v>46246</v>
      </c>
      <c r="B45" s="7" t="s">
        <v>42</v>
      </c>
      <c r="C45" s="17" t="s">
        <v>41</v>
      </c>
      <c r="D45" s="0" t="n">
        <v>0</v>
      </c>
    </row>
    <row r="46" customFormat="false" ht="15" hidden="false" customHeight="false" outlineLevel="0" collapsed="false">
      <c r="A46" s="6" t="n">
        <v>46247</v>
      </c>
      <c r="B46" s="7" t="s">
        <v>42</v>
      </c>
      <c r="C46" s="17" t="s">
        <v>41</v>
      </c>
      <c r="D46" s="0" t="n">
        <v>0</v>
      </c>
    </row>
    <row r="47" customFormat="false" ht="15" hidden="false" customHeight="false" outlineLevel="0" collapsed="false">
      <c r="A47" s="6" t="n">
        <v>46248</v>
      </c>
      <c r="B47" s="7" t="s">
        <v>42</v>
      </c>
      <c r="C47" s="17" t="s">
        <v>41</v>
      </c>
      <c r="D47" s="0" t="n">
        <v>0</v>
      </c>
    </row>
    <row r="48" customFormat="false" ht="15" hidden="false" customHeight="false" outlineLevel="0" collapsed="false">
      <c r="A48" s="6" t="n">
        <v>46249</v>
      </c>
      <c r="B48" s="7" t="s">
        <v>42</v>
      </c>
      <c r="C48" s="17" t="s">
        <v>41</v>
      </c>
      <c r="D48" s="0" t="n">
        <v>0</v>
      </c>
    </row>
    <row r="49" customFormat="false" ht="15" hidden="false" customHeight="false" outlineLevel="0" collapsed="false">
      <c r="A49" s="6" t="n">
        <v>46250</v>
      </c>
      <c r="B49" s="7" t="s">
        <v>42</v>
      </c>
      <c r="C49" s="17" t="s">
        <v>41</v>
      </c>
      <c r="D49" s="0" t="n">
        <v>0</v>
      </c>
    </row>
    <row r="50" customFormat="false" ht="15" hidden="false" customHeight="false" outlineLevel="0" collapsed="false">
      <c r="A50" s="6" t="n">
        <v>46251</v>
      </c>
      <c r="B50" s="7" t="s">
        <v>43</v>
      </c>
      <c r="C50" s="17" t="s">
        <v>44</v>
      </c>
      <c r="D50" s="0" t="n">
        <v>0</v>
      </c>
    </row>
    <row r="51" customFormat="false" ht="15" hidden="false" customHeight="false" outlineLevel="0" collapsed="false">
      <c r="A51" s="6" t="n">
        <v>46252</v>
      </c>
      <c r="B51" s="7" t="s">
        <v>43</v>
      </c>
      <c r="C51" s="17" t="s">
        <v>44</v>
      </c>
      <c r="D51" s="0" t="n">
        <v>0</v>
      </c>
    </row>
    <row r="52" customFormat="false" ht="15" hidden="false" customHeight="false" outlineLevel="0" collapsed="false">
      <c r="A52" s="6" t="n">
        <v>46253</v>
      </c>
      <c r="B52" s="7" t="s">
        <v>43</v>
      </c>
      <c r="C52" s="17" t="s">
        <v>44</v>
      </c>
      <c r="D52" s="0" t="n">
        <v>0</v>
      </c>
    </row>
    <row r="53" customFormat="false" ht="15" hidden="false" customHeight="false" outlineLevel="0" collapsed="false">
      <c r="A53" s="6" t="n">
        <v>46254</v>
      </c>
      <c r="B53" s="7" t="s">
        <v>43</v>
      </c>
      <c r="C53" s="17" t="s">
        <v>44</v>
      </c>
      <c r="D53" s="0" t="n">
        <v>0</v>
      </c>
    </row>
    <row r="54" customFormat="false" ht="15" hidden="false" customHeight="false" outlineLevel="0" collapsed="false">
      <c r="A54" s="6" t="n">
        <v>46255</v>
      </c>
      <c r="B54" s="7" t="s">
        <v>43</v>
      </c>
      <c r="C54" s="17" t="s">
        <v>44</v>
      </c>
      <c r="D54" s="0" t="n">
        <v>0</v>
      </c>
    </row>
    <row r="55" customFormat="false" ht="15" hidden="false" customHeight="false" outlineLevel="0" collapsed="false">
      <c r="A55" s="6" t="n">
        <v>46256</v>
      </c>
      <c r="B55" s="7" t="s">
        <v>43</v>
      </c>
      <c r="C55" s="17" t="s">
        <v>44</v>
      </c>
      <c r="D55" s="0" t="n">
        <v>0</v>
      </c>
    </row>
    <row r="56" customFormat="false" ht="15" hidden="false" customHeight="false" outlineLevel="0" collapsed="false">
      <c r="A56" s="6" t="n">
        <v>46257</v>
      </c>
      <c r="B56" s="7" t="s">
        <v>43</v>
      </c>
      <c r="C56" s="17" t="s">
        <v>44</v>
      </c>
      <c r="D56" s="0" t="n">
        <v>0</v>
      </c>
    </row>
    <row r="57" customFormat="false" ht="15" hidden="false" customHeight="false" outlineLevel="0" collapsed="false">
      <c r="A57" s="6" t="n">
        <v>46258</v>
      </c>
      <c r="B57" s="7" t="s">
        <v>43</v>
      </c>
      <c r="C57" s="17" t="s">
        <v>44</v>
      </c>
      <c r="D57" s="0" t="n">
        <v>0</v>
      </c>
    </row>
    <row r="58" customFormat="false" ht="15" hidden="false" customHeight="false" outlineLevel="0" collapsed="false">
      <c r="A58" s="6" t="n">
        <v>46259</v>
      </c>
      <c r="B58" s="7" t="s">
        <v>43</v>
      </c>
      <c r="C58" s="17" t="s">
        <v>44</v>
      </c>
      <c r="D58" s="0" t="n">
        <v>0</v>
      </c>
    </row>
    <row r="59" customFormat="false" ht="15" hidden="false" customHeight="false" outlineLevel="0" collapsed="false">
      <c r="A59" s="6" t="n">
        <v>46260</v>
      </c>
      <c r="B59" s="7" t="s">
        <v>45</v>
      </c>
      <c r="C59" s="17" t="s">
        <v>46</v>
      </c>
      <c r="D59" s="0" t="n">
        <v>0</v>
      </c>
    </row>
    <row r="60" customFormat="false" ht="15" hidden="false" customHeight="false" outlineLevel="0" collapsed="false">
      <c r="A60" s="6" t="n">
        <v>46261</v>
      </c>
      <c r="B60" s="7" t="s">
        <v>45</v>
      </c>
      <c r="C60" s="17" t="s">
        <v>47</v>
      </c>
      <c r="D60" s="0" t="n">
        <v>0</v>
      </c>
    </row>
    <row r="61" customFormat="false" ht="15" hidden="false" customHeight="false" outlineLevel="0" collapsed="false">
      <c r="A61" s="6" t="n">
        <v>46262</v>
      </c>
      <c r="B61" s="7" t="s">
        <v>45</v>
      </c>
      <c r="C61" s="17" t="s">
        <v>47</v>
      </c>
      <c r="D61" s="0" t="n">
        <v>0</v>
      </c>
    </row>
    <row r="62" customFormat="false" ht="15" hidden="false" customHeight="false" outlineLevel="0" collapsed="false">
      <c r="A62" s="6" t="n">
        <v>46263</v>
      </c>
      <c r="B62" s="7" t="s">
        <v>48</v>
      </c>
      <c r="C62" s="17" t="s">
        <v>49</v>
      </c>
      <c r="D62" s="0" t="n">
        <v>0</v>
      </c>
    </row>
    <row r="63" customFormat="false" ht="15" hidden="false" customHeight="false" outlineLevel="0" collapsed="false">
      <c r="A63" s="6" t="n">
        <v>46264</v>
      </c>
      <c r="B63" s="7" t="s">
        <v>48</v>
      </c>
      <c r="C63" s="17" t="s">
        <v>49</v>
      </c>
      <c r="D63" s="0" t="n">
        <v>0</v>
      </c>
    </row>
    <row r="64" customFormat="false" ht="15" hidden="false" customHeight="false" outlineLevel="0" collapsed="false">
      <c r="A64" s="6" t="n">
        <v>46265</v>
      </c>
      <c r="B64" s="7" t="s">
        <v>48</v>
      </c>
      <c r="C64" s="17" t="s">
        <v>50</v>
      </c>
      <c r="D64" s="0" t="n">
        <v>0</v>
      </c>
    </row>
    <row r="65" customFormat="false" ht="15" hidden="false" customHeight="false" outlineLevel="0" collapsed="false">
      <c r="C65" s="17"/>
    </row>
    <row r="91" customFormat="false" ht="15" hidden="false" customHeight="false" outlineLevel="0" collapsed="false">
      <c r="A91" s="6"/>
    </row>
    <row r="92" customFormat="false" ht="15" hidden="false" customHeight="false" outlineLevel="0" collapsed="false">
      <c r="A92" s="6"/>
    </row>
    <row r="93" customFormat="false" ht="15" hidden="false" customHeight="false" outlineLevel="0" collapsed="false">
      <c r="A93" s="6"/>
    </row>
    <row r="94" customFormat="false" ht="15" hidden="false" customHeight="false" outlineLevel="0" collapsed="false">
      <c r="A94" s="6"/>
    </row>
    <row r="95" customFormat="false" ht="15" hidden="false" customHeight="false" outlineLevel="0" collapsed="false">
      <c r="A95" s="6"/>
    </row>
    <row r="96" customFormat="false" ht="15" hidden="false" customHeight="false" outlineLevel="0" collapsed="false">
      <c r="A96" s="6"/>
    </row>
    <row r="97" customFormat="false" ht="15" hidden="false" customHeight="false" outlineLevel="0" collapsed="false">
      <c r="A97" s="6"/>
    </row>
    <row r="98" customFormat="false" ht="15" hidden="false" customHeight="false" outlineLevel="0" collapsed="false">
      <c r="A98" s="6"/>
    </row>
    <row r="99" customFormat="false" ht="15" hidden="false" customHeight="false" outlineLevel="0" collapsed="false">
      <c r="A99" s="6"/>
    </row>
    <row r="100" customFormat="false" ht="15" hidden="false" customHeight="false" outlineLevel="0" collapsed="false">
      <c r="A100" s="6"/>
    </row>
    <row r="101" customFormat="false" ht="15" hidden="false" customHeight="false" outlineLevel="0" collapsed="false">
      <c r="A101" s="6"/>
    </row>
    <row r="102" customFormat="false" ht="15" hidden="false" customHeight="false" outlineLevel="0" collapsed="false">
      <c r="A102" s="6"/>
    </row>
    <row r="103" customFormat="false" ht="15" hidden="false" customHeight="false" outlineLevel="0" collapsed="false">
      <c r="A103" s="6"/>
    </row>
    <row r="104" customFormat="false" ht="15" hidden="false" customHeight="false" outlineLevel="0" collapsed="false">
      <c r="A104" s="6"/>
    </row>
    <row r="105" customFormat="false" ht="15" hidden="false" customHeight="false" outlineLevel="0" collapsed="false">
      <c r="A105" s="6"/>
    </row>
    <row r="106" customFormat="false" ht="15" hidden="false" customHeight="false" outlineLevel="0" collapsed="false">
      <c r="A106" s="6"/>
    </row>
  </sheetData>
  <mergeCells count="1">
    <mergeCell ref="A1:D1"/>
  </mergeCells>
  <dataValidations count="1">
    <dataValidation allowBlank="true" errorStyle="stop" operator="between" showDropDown="false" showErrorMessage="true" showInputMessage="true" sqref="D3:D64" type="whole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2.72"/>
    <col collapsed="false" customWidth="true" hidden="false" outlineLevel="0" max="2" min="2" style="0" width="28.72"/>
  </cols>
  <sheetData>
    <row r="1" customFormat="false" ht="15" hidden="false" customHeight="false" outlineLevel="0" collapsed="false">
      <c r="A1" s="18" t="s">
        <v>51</v>
      </c>
      <c r="B1" s="18"/>
      <c r="C1" s="18"/>
      <c r="D1" s="18"/>
    </row>
    <row r="2" customFormat="false" ht="15" hidden="false" customHeight="false" outlineLevel="0" collapsed="false">
      <c r="A2" s="0" t="s">
        <v>52</v>
      </c>
      <c r="B2" s="0" t="s">
        <v>53</v>
      </c>
    </row>
    <row r="3" customFormat="false" ht="16.4" hidden="false" customHeight="false" outlineLevel="0" collapsed="false">
      <c r="A3" s="0" t="s">
        <v>54</v>
      </c>
      <c r="B3" s="0" t="s">
        <v>55</v>
      </c>
    </row>
    <row r="4" customFormat="false" ht="15" hidden="false" customHeight="false" outlineLevel="0" collapsed="false">
      <c r="A4" s="0" t="s">
        <v>56</v>
      </c>
      <c r="B4" s="0" t="s">
        <v>57</v>
      </c>
    </row>
    <row r="5" customFormat="false" ht="15" hidden="false" customHeight="false" outlineLevel="0" collapsed="false">
      <c r="A5" s="0" t="s">
        <v>58</v>
      </c>
      <c r="B5" s="0" t="s">
        <v>59</v>
      </c>
    </row>
  </sheetData>
  <mergeCells count="1">
    <mergeCell ref="A1:D1"/>
  </mergeCells>
  <hyperlinks>
    <hyperlink ref="B3" r:id="rId1" display="gabrielpedroaurelio@gmail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547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2026-06-09T11:11:55Z</dcterms:created>
  <dc:creator>Gabriel Aurélio</dc:creator>
  <dc:description/>
  <dc:language>pt-BR</dc:language>
  <cp:lastModifiedBy/>
  <dcterms:modified xsi:type="dcterms:W3CDTF">2026-07-01T21:10:19Z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